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95584068-264A-424E-A2B8-FD600EF96D92}" xr6:coauthVersionLast="47" xr6:coauthVersionMax="47" xr10:uidLastSave="{00000000-0000-0000-0000-000000000000}"/>
  <bookViews>
    <workbookView xWindow="-120" yWindow="-120" windowWidth="20730" windowHeight="11160" xr2:uid="{7AD7C3A0-81AB-48F4-90DF-B76E83AD056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6" i="1" l="1"/>
  <c r="B17" i="1"/>
  <c r="B15" i="1"/>
  <c r="B14" i="1"/>
  <c r="B13" i="1"/>
  <c r="B12" i="1"/>
  <c r="B11" i="1"/>
  <c r="B10" i="1"/>
  <c r="B9" i="1"/>
  <c r="B8" i="1"/>
  <c r="B7" i="1"/>
  <c r="B6" i="1"/>
  <c r="B5" i="1"/>
  <c r="B4" i="1"/>
  <c r="B2" i="1"/>
  <c r="B3" i="1"/>
</calcChain>
</file>

<file path=xl/sharedStrings.xml><?xml version="1.0" encoding="utf-8"?>
<sst xmlns="http://schemas.openxmlformats.org/spreadsheetml/2006/main" count="17" uniqueCount="17">
  <si>
    <t>1.1</t>
  </si>
  <si>
    <t>1.2</t>
  </si>
  <si>
    <t>2.1</t>
  </si>
  <si>
    <t>2.2</t>
  </si>
  <si>
    <t>3.1</t>
  </si>
  <si>
    <t>3.2</t>
  </si>
  <si>
    <t>4.1</t>
  </si>
  <si>
    <t>4.2</t>
  </si>
  <si>
    <t>5.1</t>
  </si>
  <si>
    <t>5.2</t>
  </si>
  <si>
    <t>6.1</t>
  </si>
  <si>
    <t>6.2</t>
  </si>
  <si>
    <t>7.1</t>
  </si>
  <si>
    <t>7.2</t>
  </si>
  <si>
    <t>8.1</t>
  </si>
  <si>
    <t>8.2</t>
  </si>
  <si>
    <t>Lương Như 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</si>
</sst>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Times New Roman"/>
      <family val="2"/>
    </font>
    <font>
      <sz val="8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CBF6C-865D-455A-8CB6-2F0B28D95361}">
  <sheetPr codeName="Sheet1"/>
  <dimension ref="A1:B17"/>
  <sheetViews>
    <sheetView tabSelected="1" workbookViewId="0">
      <selection activeCell="D7" sqref="D7"/>
    </sheetView>
  </sheetViews>
  <sheetFormatPr defaultRowHeight="15.75" x14ac:dyDescent="0.25"/>
  <cols>
    <col min="1" max="1" width="11.75" bestFit="1" customWidth="1"/>
    <col min="2" max="2" width="11.875" bestFit="1" customWidth="1"/>
  </cols>
  <sheetData>
    <row r="1" spans="1:2" x14ac:dyDescent="0.25">
      <c r="A1" t="s">
        <v>16</v>
      </c>
    </row>
    <row r="2" spans="1:2" x14ac:dyDescent="0.25">
      <c r="A2" t="s">
        <v>0</v>
      </c>
      <c r="B2">
        <f>_xlfn.BINOM.DIST(8, 12, 0.7, FALSE)</f>
        <v>0.23113969609500007</v>
      </c>
    </row>
    <row r="3" spans="1:2" x14ac:dyDescent="0.25">
      <c r="A3" t="s">
        <v>1</v>
      </c>
      <c r="B3">
        <f>_xlfn.BINOM.DIST(9, 12, 0.7, TRUE)</f>
        <v>0.74718465214500007</v>
      </c>
    </row>
    <row r="4" spans="1:2" x14ac:dyDescent="0.25">
      <c r="A4" t="s">
        <v>2</v>
      </c>
      <c r="B4">
        <f>_xlfn.POISSON.DIST(3, 2.5, FALSE)</f>
        <v>0.21376301724973648</v>
      </c>
    </row>
    <row r="5" spans="1:2" x14ac:dyDescent="0.25">
      <c r="A5" t="s">
        <v>3</v>
      </c>
      <c r="B5">
        <f>_xlfn.POISSON.DIST(2, 2.5, TRUE)</f>
        <v>0.54381311588332959</v>
      </c>
    </row>
    <row r="6" spans="1:2" x14ac:dyDescent="0.25">
      <c r="A6" t="s">
        <v>4</v>
      </c>
      <c r="B6">
        <f>_xlfn.NORM.DIST(1300, 1200, 100, TRUE)</f>
        <v>0.84134474606854304</v>
      </c>
    </row>
    <row r="7" spans="1:2" x14ac:dyDescent="0.25">
      <c r="A7" t="s">
        <v>5</v>
      </c>
      <c r="B7">
        <f>_xlfn.NORM.DIST(1250, 1200, 100, TRUE) - _xlfn.NORM.DIST(1100, 1200, 100, TRUE)</f>
        <v>0.53280720734255616</v>
      </c>
    </row>
    <row r="8" spans="1:2" x14ac:dyDescent="0.25">
      <c r="A8" t="s">
        <v>6</v>
      </c>
      <c r="B8">
        <f>_xlfn.NORM.S.DIST(1.4, TRUE)</f>
        <v>0.91924334076622893</v>
      </c>
    </row>
    <row r="9" spans="1:2" x14ac:dyDescent="0.25">
      <c r="A9" t="s">
        <v>7</v>
      </c>
      <c r="B9">
        <f>_xlfn.NORM.S.INV(0.975)</f>
        <v>1.9599639845400536</v>
      </c>
    </row>
    <row r="10" spans="1:2" x14ac:dyDescent="0.25">
      <c r="A10" t="s">
        <v>8</v>
      </c>
      <c r="B10">
        <f>_xlfn.T.DIST(2.12, 15, TRUE)</f>
        <v>0.97445349581525154</v>
      </c>
    </row>
    <row r="11" spans="1:2" x14ac:dyDescent="0.25">
      <c r="A11" t="s">
        <v>9</v>
      </c>
      <c r="B11">
        <f>_xlfn.T.INV(0.95, 15)</f>
        <v>1.7530503556925723</v>
      </c>
    </row>
    <row r="12" spans="1:2" x14ac:dyDescent="0.25">
      <c r="A12" t="s">
        <v>10</v>
      </c>
      <c r="B12">
        <f>(6-4)/(14-4)</f>
        <v>0.2</v>
      </c>
    </row>
    <row r="13" spans="1:2" x14ac:dyDescent="0.25">
      <c r="A13" t="s">
        <v>11</v>
      </c>
      <c r="B13">
        <f>(12-8)/(14-4)</f>
        <v>0.4</v>
      </c>
    </row>
    <row r="14" spans="1:2" x14ac:dyDescent="0.25">
      <c r="A14" t="s">
        <v>12</v>
      </c>
      <c r="B14">
        <f>_xlfn.CHISQ.DIST(10.64, 6, TRUE)</f>
        <v>0.89983945993987757</v>
      </c>
    </row>
    <row r="15" spans="1:2" x14ac:dyDescent="0.25">
      <c r="A15" t="s">
        <v>13</v>
      </c>
      <c r="B15">
        <f>_xlfn.CHISQ.INV(0.95, 6)</f>
        <v>12.591587243743977</v>
      </c>
    </row>
    <row r="16" spans="1:2" x14ac:dyDescent="0.25">
      <c r="A16" t="s">
        <v>14</v>
      </c>
      <c r="B16">
        <f>_xlfn.F.DIST(3.12, 4, 9, TRUE)</f>
        <v>0.92789119547700227</v>
      </c>
    </row>
    <row r="17" spans="1:2" x14ac:dyDescent="0.25">
      <c r="A17" t="s">
        <v>15</v>
      </c>
      <c r="B17">
        <f>_xlfn.F.INV(0.95, 4, 9)</f>
        <v>3.6330885114190798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luongnhuy43@gmail.com</dc:creator>
  <cp:lastModifiedBy>luongnhuy43@gmail.com</cp:lastModifiedBy>
  <dcterms:created xsi:type="dcterms:W3CDTF">2025-12-20T03:52:58Z</dcterms:created>
  <dcterms:modified xsi:type="dcterms:W3CDTF">2025-12-20T04:17:15Z</dcterms:modified>
</cp:coreProperties>
</file>