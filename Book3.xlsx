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2C068F9-0148-4B56-8378-2CFEAED2F372}" xr6:coauthVersionLast="47" xr6:coauthVersionMax="47" xr10:uidLastSave="{00000000-0000-0000-0000-000000000000}"/>
  <bookViews>
    <workbookView xWindow="-120" yWindow="-120" windowWidth="20730" windowHeight="11160" activeTab="1" xr2:uid="{50341F12-4B47-44F3-8664-BA523B73C0E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2" l="1"/>
  <c r="B18" i="2"/>
  <c r="H3" i="2"/>
  <c r="H4" i="2"/>
  <c r="H5" i="2"/>
  <c r="H6" i="2"/>
  <c r="I6" i="2" s="1"/>
  <c r="H7" i="2"/>
  <c r="H8" i="2"/>
  <c r="H9" i="2"/>
  <c r="H10" i="2"/>
  <c r="I10" i="2" s="1"/>
  <c r="H11" i="2"/>
  <c r="H2" i="2"/>
  <c r="I3" i="2"/>
  <c r="I4" i="2"/>
  <c r="J4" i="2" s="1"/>
  <c r="I5" i="2"/>
  <c r="I7" i="2"/>
  <c r="I8" i="2"/>
  <c r="J8" i="2" s="1"/>
  <c r="I9" i="2"/>
  <c r="I11" i="2"/>
  <c r="I2" i="2"/>
  <c r="J2" i="2" s="1"/>
  <c r="J3" i="2"/>
  <c r="B16" i="2"/>
  <c r="B19" i="2"/>
  <c r="B15" i="2"/>
  <c r="G12" i="2"/>
  <c r="F12" i="2"/>
  <c r="F3" i="2"/>
  <c r="F4" i="2"/>
  <c r="F5" i="2"/>
  <c r="F6" i="2"/>
  <c r="F7" i="2"/>
  <c r="F8" i="2"/>
  <c r="F9" i="2"/>
  <c r="F10" i="2"/>
  <c r="F11" i="2"/>
  <c r="F2" i="2"/>
  <c r="K3" i="2"/>
  <c r="K4" i="2"/>
  <c r="K5" i="2"/>
  <c r="K6" i="2"/>
  <c r="K7" i="2"/>
  <c r="K8" i="2"/>
  <c r="K9" i="2"/>
  <c r="K10" i="2"/>
  <c r="K11" i="2"/>
  <c r="K2" i="2"/>
  <c r="J5" i="2"/>
  <c r="J7" i="2"/>
  <c r="J9" i="2"/>
  <c r="J11" i="2"/>
  <c r="G3" i="2"/>
  <c r="G4" i="2"/>
  <c r="G5" i="2"/>
  <c r="G6" i="2"/>
  <c r="G7" i="2"/>
  <c r="G8" i="2"/>
  <c r="G9" i="2"/>
  <c r="G10" i="2"/>
  <c r="G11" i="2"/>
  <c r="G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C14" i="2"/>
  <c r="B14" i="2"/>
  <c r="C13" i="2"/>
  <c r="B13" i="2"/>
  <c r="B15" i="1"/>
  <c r="K2" i="1"/>
  <c r="B13" i="1" s="1"/>
  <c r="B14" i="1" s="1"/>
  <c r="K3" i="1"/>
  <c r="K4" i="1"/>
  <c r="K5" i="1"/>
  <c r="K6" i="1"/>
  <c r="B1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B10" i="1"/>
  <c r="B9" i="1"/>
  <c r="G7" i="1"/>
  <c r="F7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D6" i="1"/>
  <c r="D3" i="1"/>
  <c r="D4" i="1"/>
  <c r="D5" i="1"/>
  <c r="D2" i="1"/>
  <c r="C7" i="1"/>
  <c r="B7" i="1"/>
  <c r="C8" i="1"/>
  <c r="B8" i="1"/>
  <c r="J10" i="2" l="1"/>
  <c r="J6" i="2"/>
  <c r="B21" i="2" l="1"/>
</calcChain>
</file>

<file path=xl/sharedStrings.xml><?xml version="1.0" encoding="utf-8"?>
<sst xmlns="http://schemas.openxmlformats.org/spreadsheetml/2006/main" count="94" uniqueCount="49">
  <si>
    <t>x_i</t>
  </si>
  <si>
    <t>y_i</t>
  </si>
  <si>
    <t xml:space="preserve">tổng </t>
  </si>
  <si>
    <t>Trung bình</t>
  </si>
  <si>
    <t>beta1</t>
  </si>
  <si>
    <t>beta0</t>
  </si>
  <si>
    <t>PT hồi quy</t>
  </si>
  <si>
    <t>SSE</t>
  </si>
  <si>
    <t>SST</t>
  </si>
  <si>
    <t>R^2</t>
  </si>
  <si>
    <t>MSE</t>
  </si>
  <si>
    <t>x_i- xngang</t>
  </si>
  <si>
    <t>y_i-y ngang</t>
  </si>
  <si>
    <t>(x_i- xngang)*(y_i-y ngang)</t>
  </si>
  <si>
    <t>(x_i -x ngang)^2</t>
  </si>
  <si>
    <t>y^=2+x</t>
  </si>
  <si>
    <t>y^</t>
  </si>
  <si>
    <t>e</t>
  </si>
  <si>
    <t>e^2</t>
  </si>
  <si>
    <t>t</t>
  </si>
  <si>
    <t>mô hình hoàn hảo</t>
  </si>
  <si>
    <t>tổng</t>
  </si>
  <si>
    <t xml:space="preserve">mô </t>
  </si>
  <si>
    <t>y^=4,5+0,5x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</si>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</sst>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1521-19E0-45BE-A5B3-6FF0DE478DCA}">
  <dimension ref="A1:K36"/>
  <sheetViews>
    <sheetView topLeftCell="A20" workbookViewId="0">
      <selection activeCell="A19" sqref="A19:I39"/>
    </sheetView>
  </sheetViews>
  <sheetFormatPr defaultRowHeight="15.75" x14ac:dyDescent="0.25"/>
  <cols>
    <col min="4" max="4" width="12.125" customWidth="1"/>
    <col min="5" max="5" width="11.125" customWidth="1"/>
    <col min="6" max="6" width="24.25" customWidth="1"/>
    <col min="7" max="7" width="13.5" customWidth="1"/>
  </cols>
  <sheetData>
    <row r="1" spans="1:11" x14ac:dyDescent="0.25">
      <c r="B1" s="1" t="s">
        <v>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16</v>
      </c>
      <c r="I1" s="1" t="s">
        <v>17</v>
      </c>
      <c r="J1" s="3" t="s">
        <v>18</v>
      </c>
      <c r="K1" s="1" t="s">
        <v>19</v>
      </c>
    </row>
    <row r="2" spans="1:11" x14ac:dyDescent="0.25">
      <c r="B2" s="1">
        <v>2</v>
      </c>
      <c r="C2" s="1">
        <v>4</v>
      </c>
      <c r="D2" s="1">
        <f>B2-$B$8</f>
        <v>-2</v>
      </c>
      <c r="E2" s="1">
        <f>C2-$C$8</f>
        <v>-2</v>
      </c>
      <c r="F2" s="1">
        <f>D2*E2</f>
        <v>4</v>
      </c>
      <c r="G2" s="1">
        <f>D2^2</f>
        <v>4</v>
      </c>
      <c r="H2" s="1">
        <f>2+B2</f>
        <v>4</v>
      </c>
      <c r="I2" s="1">
        <f>C2-H2</f>
        <v>0</v>
      </c>
      <c r="J2" s="4">
        <f>I2^2</f>
        <v>0</v>
      </c>
      <c r="K2" s="1">
        <f>E2^2</f>
        <v>4</v>
      </c>
    </row>
    <row r="3" spans="1:11" x14ac:dyDescent="0.25">
      <c r="B3" s="1">
        <v>3</v>
      </c>
      <c r="C3" s="1">
        <v>5</v>
      </c>
      <c r="D3" s="1">
        <f t="shared" ref="D3:D5" si="0">B3-$B$8</f>
        <v>-1</v>
      </c>
      <c r="E3" s="1">
        <f t="shared" ref="E3:E6" si="1">C3-$C$8</f>
        <v>-1</v>
      </c>
      <c r="F3" s="1">
        <f t="shared" ref="F3:F6" si="2">D3*E3</f>
        <v>1</v>
      </c>
      <c r="G3" s="1">
        <f t="shared" ref="G3:G6" si="3">D3^2</f>
        <v>1</v>
      </c>
      <c r="H3" s="1">
        <f t="shared" ref="H3:H6" si="4">2+B3</f>
        <v>5</v>
      </c>
      <c r="I3" s="1">
        <f t="shared" ref="I3:I6" si="5">C3-H3</f>
        <v>0</v>
      </c>
      <c r="J3" s="4">
        <f t="shared" ref="J3:J6" si="6">I3^2</f>
        <v>0</v>
      </c>
      <c r="K3" s="1">
        <f t="shared" ref="K3:K6" si="7">E3^2</f>
        <v>1</v>
      </c>
    </row>
    <row r="4" spans="1:11" x14ac:dyDescent="0.25">
      <c r="B4" s="1">
        <v>4</v>
      </c>
      <c r="C4" s="1">
        <v>6</v>
      </c>
      <c r="D4" s="1">
        <f t="shared" si="0"/>
        <v>0</v>
      </c>
      <c r="E4" s="1">
        <f t="shared" si="1"/>
        <v>0</v>
      </c>
      <c r="F4" s="1">
        <f t="shared" si="2"/>
        <v>0</v>
      </c>
      <c r="G4" s="1">
        <f t="shared" si="3"/>
        <v>0</v>
      </c>
      <c r="H4" s="1">
        <f t="shared" si="4"/>
        <v>6</v>
      </c>
      <c r="I4" s="1">
        <f t="shared" si="5"/>
        <v>0</v>
      </c>
      <c r="J4" s="4">
        <f t="shared" si="6"/>
        <v>0</v>
      </c>
      <c r="K4" s="1">
        <f t="shared" si="7"/>
        <v>0</v>
      </c>
    </row>
    <row r="5" spans="1:11" x14ac:dyDescent="0.25">
      <c r="B5" s="1">
        <v>5</v>
      </c>
      <c r="C5" s="1">
        <v>7</v>
      </c>
      <c r="D5" s="1">
        <f t="shared" si="0"/>
        <v>1</v>
      </c>
      <c r="E5" s="1">
        <f t="shared" si="1"/>
        <v>1</v>
      </c>
      <c r="F5" s="1">
        <f t="shared" si="2"/>
        <v>1</v>
      </c>
      <c r="G5" s="1">
        <f t="shared" si="3"/>
        <v>1</v>
      </c>
      <c r="H5" s="1">
        <f t="shared" si="4"/>
        <v>7</v>
      </c>
      <c r="I5" s="1">
        <f t="shared" si="5"/>
        <v>0</v>
      </c>
      <c r="J5" s="4">
        <f t="shared" si="6"/>
        <v>0</v>
      </c>
      <c r="K5" s="1">
        <f t="shared" si="7"/>
        <v>1</v>
      </c>
    </row>
    <row r="6" spans="1:11" x14ac:dyDescent="0.25">
      <c r="B6" s="1">
        <v>6</v>
      </c>
      <c r="C6" s="1">
        <v>8</v>
      </c>
      <c r="D6" s="1">
        <f>B6-$B$8</f>
        <v>2</v>
      </c>
      <c r="E6" s="1">
        <f t="shared" si="1"/>
        <v>2</v>
      </c>
      <c r="F6" s="1">
        <f t="shared" si="2"/>
        <v>4</v>
      </c>
      <c r="G6" s="1">
        <f t="shared" si="3"/>
        <v>4</v>
      </c>
      <c r="H6" s="1">
        <f t="shared" si="4"/>
        <v>8</v>
      </c>
      <c r="I6" s="1">
        <f t="shared" si="5"/>
        <v>0</v>
      </c>
      <c r="J6" s="4">
        <f t="shared" si="6"/>
        <v>0</v>
      </c>
      <c r="K6" s="1">
        <f t="shared" si="7"/>
        <v>4</v>
      </c>
    </row>
    <row r="7" spans="1:11" x14ac:dyDescent="0.25">
      <c r="A7" t="s">
        <v>2</v>
      </c>
      <c r="B7">
        <f>SUM(B2:B6)</f>
        <v>20</v>
      </c>
      <c r="C7">
        <f>SUM(C2:C6)</f>
        <v>30</v>
      </c>
      <c r="F7" s="2">
        <f>SUM(F2:F6)</f>
        <v>10</v>
      </c>
      <c r="G7" s="2">
        <f>SUM(G2:G6)</f>
        <v>10</v>
      </c>
    </row>
    <row r="8" spans="1:11" x14ac:dyDescent="0.25">
      <c r="A8" t="s">
        <v>3</v>
      </c>
      <c r="B8">
        <f>AVERAGE(B2:B6)</f>
        <v>4</v>
      </c>
      <c r="C8">
        <f>AVERAGE(C2:C6)</f>
        <v>6</v>
      </c>
    </row>
    <row r="9" spans="1:11" x14ac:dyDescent="0.25">
      <c r="A9" t="s">
        <v>4</v>
      </c>
      <c r="B9">
        <f>F7/G7</f>
        <v>1</v>
      </c>
    </row>
    <row r="10" spans="1:11" x14ac:dyDescent="0.25">
      <c r="A10" t="s">
        <v>5</v>
      </c>
      <c r="B10">
        <f>C8-B9*B8</f>
        <v>2</v>
      </c>
    </row>
    <row r="11" spans="1:11" x14ac:dyDescent="0.25">
      <c r="A11" t="s">
        <v>6</v>
      </c>
      <c r="B11" t="s">
        <v>15</v>
      </c>
    </row>
    <row r="12" spans="1:11" x14ac:dyDescent="0.25">
      <c r="A12" t="s">
        <v>7</v>
      </c>
      <c r="B12">
        <f>SUM(J2:J6)</f>
        <v>0</v>
      </c>
    </row>
    <row r="13" spans="1:11" x14ac:dyDescent="0.25">
      <c r="A13" t="s">
        <v>8</v>
      </c>
      <c r="B13">
        <f>SUM(K2:K6)</f>
        <v>10</v>
      </c>
    </row>
    <row r="14" spans="1:11" x14ac:dyDescent="0.25">
      <c r="A14" t="s">
        <v>9</v>
      </c>
      <c r="B14">
        <f>1-(B12/B13)</f>
        <v>1</v>
      </c>
    </row>
    <row r="15" spans="1:11" x14ac:dyDescent="0.25">
      <c r="A15" t="s">
        <v>10</v>
      </c>
      <c r="B15">
        <f>B12/5</f>
        <v>0</v>
      </c>
    </row>
    <row r="16" spans="1:11" x14ac:dyDescent="0.25">
      <c r="F16" t="s">
        <v>20</v>
      </c>
    </row>
    <row r="19" spans="1:6" x14ac:dyDescent="0.25">
      <c r="A19" t="s">
        <v>24</v>
      </c>
    </row>
    <row r="20" spans="1:6" ht="16.5" thickBot="1" x14ac:dyDescent="0.3"/>
    <row r="21" spans="1:6" x14ac:dyDescent="0.25">
      <c r="A21" s="7" t="s">
        <v>25</v>
      </c>
      <c r="B21" s="7"/>
    </row>
    <row r="22" spans="1:6" x14ac:dyDescent="0.25">
      <c r="A22" t="s">
        <v>26</v>
      </c>
      <c r="B22">
        <v>1</v>
      </c>
    </row>
    <row r="23" spans="1:6" x14ac:dyDescent="0.25">
      <c r="A23" t="s">
        <v>27</v>
      </c>
      <c r="B23">
        <v>1</v>
      </c>
    </row>
    <row r="24" spans="1:6" x14ac:dyDescent="0.25">
      <c r="A24" t="s">
        <v>28</v>
      </c>
      <c r="B24">
        <v>1</v>
      </c>
    </row>
    <row r="25" spans="1:6" x14ac:dyDescent="0.25">
      <c r="A25" t="s">
        <v>29</v>
      </c>
      <c r="B25">
        <v>2.9373740229761033E-16</v>
      </c>
    </row>
    <row r="26" spans="1:6" ht="16.5" thickBot="1" x14ac:dyDescent="0.3">
      <c r="A26" s="5" t="s">
        <v>30</v>
      </c>
      <c r="B26" s="5">
        <v>5</v>
      </c>
    </row>
    <row r="28" spans="1:6" ht="16.5" thickBot="1" x14ac:dyDescent="0.3">
      <c r="A28" t="s">
        <v>31</v>
      </c>
    </row>
    <row r="29" spans="1:6" x14ac:dyDescent="0.25">
      <c r="A29" s="6"/>
      <c r="B29" s="6" t="s">
        <v>36</v>
      </c>
      <c r="C29" s="6" t="s">
        <v>37</v>
      </c>
      <c r="D29" s="6" t="s">
        <v>38</v>
      </c>
      <c r="E29" s="6" t="s">
        <v>39</v>
      </c>
      <c r="F29" s="6" t="s">
        <v>40</v>
      </c>
    </row>
    <row r="30" spans="1:6" x14ac:dyDescent="0.25">
      <c r="A30" t="s">
        <v>32</v>
      </c>
      <c r="B30">
        <v>1</v>
      </c>
      <c r="C30">
        <v>10</v>
      </c>
      <c r="D30">
        <v>10</v>
      </c>
      <c r="E30">
        <v>1.1589948344943812E+32</v>
      </c>
      <c r="F30">
        <v>1.7674555295360872E-48</v>
      </c>
    </row>
    <row r="31" spans="1:6" x14ac:dyDescent="0.25">
      <c r="A31" t="s">
        <v>33</v>
      </c>
      <c r="B31">
        <v>3</v>
      </c>
      <c r="C31">
        <v>2.588449845256445E-31</v>
      </c>
      <c r="D31">
        <v>8.6281661508548166E-32</v>
      </c>
    </row>
    <row r="32" spans="1:6" ht="16.5" thickBot="1" x14ac:dyDescent="0.3">
      <c r="A32" s="5" t="s">
        <v>34</v>
      </c>
      <c r="B32" s="5">
        <v>4</v>
      </c>
      <c r="C32" s="5">
        <v>10</v>
      </c>
      <c r="D32" s="5"/>
      <c r="E32" s="5"/>
      <c r="F32" s="5"/>
    </row>
    <row r="33" spans="1:9" ht="16.5" thickBot="1" x14ac:dyDescent="0.3"/>
    <row r="34" spans="1:9" x14ac:dyDescent="0.25">
      <c r="A34" s="6"/>
      <c r="B34" s="6" t="s">
        <v>41</v>
      </c>
      <c r="C34" s="6" t="s">
        <v>29</v>
      </c>
      <c r="D34" s="6" t="s">
        <v>42</v>
      </c>
      <c r="E34" s="6" t="s">
        <v>43</v>
      </c>
      <c r="F34" s="6" t="s">
        <v>44</v>
      </c>
      <c r="G34" s="6" t="s">
        <v>45</v>
      </c>
      <c r="H34" s="6" t="s">
        <v>46</v>
      </c>
      <c r="I34" s="6" t="s">
        <v>47</v>
      </c>
    </row>
    <row r="35" spans="1:9" x14ac:dyDescent="0.25">
      <c r="A35" t="s">
        <v>35</v>
      </c>
      <c r="B35">
        <v>2.0000000000000004</v>
      </c>
      <c r="C35">
        <v>3.9409007944299576E-16</v>
      </c>
      <c r="D35">
        <v>5074981848887916</v>
      </c>
      <c r="E35">
        <v>1.6872027170138307E-47</v>
      </c>
      <c r="F35">
        <v>1.9999999999999991</v>
      </c>
      <c r="G35">
        <v>2.0000000000000018</v>
      </c>
      <c r="H35">
        <v>1.9999999999999991</v>
      </c>
      <c r="I35">
        <v>2.0000000000000018</v>
      </c>
    </row>
    <row r="36" spans="1:9" ht="16.5" thickBot="1" x14ac:dyDescent="0.3">
      <c r="A36" s="5" t="s">
        <v>48</v>
      </c>
      <c r="B36" s="5">
        <v>0.99999999999999989</v>
      </c>
      <c r="C36" s="5">
        <v>9.288792252416251E-17</v>
      </c>
      <c r="D36" s="5">
        <v>1.0765662239241862E+16</v>
      </c>
      <c r="E36" s="5">
        <v>1.7674555295360872E-48</v>
      </c>
      <c r="F36" s="5">
        <v>0.99999999999999956</v>
      </c>
      <c r="G36" s="5">
        <v>1.0000000000000002</v>
      </c>
      <c r="H36" s="5">
        <v>0.99999999999999956</v>
      </c>
      <c r="I36" s="5">
        <v>1.0000000000000002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29C3-6CAB-4622-8570-1726D27E7704}">
  <dimension ref="A1:M41"/>
  <sheetViews>
    <sheetView tabSelected="1" topLeftCell="A9" workbookViewId="0">
      <selection activeCell="A28" sqref="A28"/>
    </sheetView>
  </sheetViews>
  <sheetFormatPr defaultRowHeight="15.75" x14ac:dyDescent="0.25"/>
  <cols>
    <col min="1" max="1" width="18.625" customWidth="1"/>
    <col min="2" max="2" width="22.875" customWidth="1"/>
    <col min="4" max="4" width="11.25" customWidth="1"/>
    <col min="5" max="5" width="11.5" customWidth="1"/>
    <col min="6" max="6" width="23.625" customWidth="1"/>
    <col min="7" max="7" width="13.875" customWidth="1"/>
    <col min="8" max="8" width="15.875" customWidth="1"/>
    <col min="9" max="9" width="13" customWidth="1"/>
    <col min="10" max="10" width="14.125" customWidth="1"/>
    <col min="11" max="11" width="8.5" customWidth="1"/>
  </cols>
  <sheetData>
    <row r="1" spans="1:13" x14ac:dyDescent="0.25">
      <c r="A1" s="1"/>
      <c r="B1" s="1" t="s">
        <v>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16</v>
      </c>
      <c r="I1" s="1" t="s">
        <v>17</v>
      </c>
      <c r="J1" s="1" t="s">
        <v>18</v>
      </c>
      <c r="K1" s="1" t="s">
        <v>19</v>
      </c>
      <c r="L1" s="1"/>
      <c r="M1" s="1"/>
    </row>
    <row r="2" spans="1:13" x14ac:dyDescent="0.25">
      <c r="A2" s="1"/>
      <c r="B2" s="1">
        <v>8</v>
      </c>
      <c r="C2" s="1">
        <v>8</v>
      </c>
      <c r="D2" s="1">
        <f>B2-$B$14</f>
        <v>-6.6</v>
      </c>
      <c r="E2" s="1">
        <f>C2-$C$14</f>
        <v>-4.5</v>
      </c>
      <c r="F2" s="1">
        <f>D2*E2</f>
        <v>29.7</v>
      </c>
      <c r="G2" s="1">
        <f>D2^2</f>
        <v>43.559999999999995</v>
      </c>
      <c r="H2" s="1">
        <f>4.5-0.5+B2</f>
        <v>12</v>
      </c>
      <c r="I2" s="1">
        <f>C2-H2</f>
        <v>-4</v>
      </c>
      <c r="J2" s="1">
        <f>I2^2</f>
        <v>16</v>
      </c>
      <c r="K2" s="1">
        <f>E2^2</f>
        <v>20.25</v>
      </c>
      <c r="L2" s="1"/>
      <c r="M2" s="1"/>
    </row>
    <row r="3" spans="1:13" x14ac:dyDescent="0.25">
      <c r="A3" s="1"/>
      <c r="B3" s="1">
        <v>10</v>
      </c>
      <c r="C3" s="1">
        <v>11</v>
      </c>
      <c r="D3" s="1">
        <f t="shared" ref="D3:D11" si="0">B3-$B$14</f>
        <v>-4.5999999999999996</v>
      </c>
      <c r="E3" s="1">
        <f t="shared" ref="E3:E11" si="1">C3-$C$14</f>
        <v>-1.5</v>
      </c>
      <c r="F3" s="1">
        <f t="shared" ref="F3:F11" si="2">D3*E3</f>
        <v>6.8999999999999995</v>
      </c>
      <c r="G3" s="1">
        <f t="shared" ref="G3:G11" si="3">D3^2</f>
        <v>21.159999999999997</v>
      </c>
      <c r="H3" s="1">
        <f t="shared" ref="H3:H11" si="4">4.5-0.5+B3</f>
        <v>14</v>
      </c>
      <c r="I3" s="1">
        <f t="shared" ref="I3:I11" si="5">C3-H3</f>
        <v>-3</v>
      </c>
      <c r="J3" s="1">
        <f t="shared" ref="J3:J11" si="6">I3^2</f>
        <v>9</v>
      </c>
      <c r="K3" s="1">
        <f t="shared" ref="K3:K11" si="7">E3^2</f>
        <v>2.25</v>
      </c>
      <c r="L3" s="1"/>
      <c r="M3" s="1"/>
    </row>
    <row r="4" spans="1:13" x14ac:dyDescent="0.25">
      <c r="A4" s="1"/>
      <c r="B4" s="1">
        <v>12</v>
      </c>
      <c r="C4" s="1">
        <v>11</v>
      </c>
      <c r="D4" s="1">
        <f t="shared" si="0"/>
        <v>-2.5999999999999996</v>
      </c>
      <c r="E4" s="1">
        <f t="shared" si="1"/>
        <v>-1.5</v>
      </c>
      <c r="F4" s="1">
        <f t="shared" si="2"/>
        <v>3.8999999999999995</v>
      </c>
      <c r="G4" s="1">
        <f t="shared" si="3"/>
        <v>6.759999999999998</v>
      </c>
      <c r="H4" s="1">
        <f t="shared" si="4"/>
        <v>16</v>
      </c>
      <c r="I4" s="1">
        <f t="shared" si="5"/>
        <v>-5</v>
      </c>
      <c r="J4" s="1">
        <f t="shared" si="6"/>
        <v>25</v>
      </c>
      <c r="K4" s="1">
        <f t="shared" si="7"/>
        <v>2.25</v>
      </c>
      <c r="L4" s="1"/>
      <c r="M4" s="1"/>
    </row>
    <row r="5" spans="1:13" x14ac:dyDescent="0.25">
      <c r="A5" s="1"/>
      <c r="B5" s="1">
        <v>12</v>
      </c>
      <c r="C5" s="1">
        <v>10</v>
      </c>
      <c r="D5" s="1">
        <f t="shared" si="0"/>
        <v>-2.5999999999999996</v>
      </c>
      <c r="E5" s="1">
        <f t="shared" si="1"/>
        <v>-2.5</v>
      </c>
      <c r="F5" s="1">
        <f t="shared" si="2"/>
        <v>6.4999999999999991</v>
      </c>
      <c r="G5" s="1">
        <f t="shared" si="3"/>
        <v>6.759999999999998</v>
      </c>
      <c r="H5" s="1">
        <f t="shared" si="4"/>
        <v>16</v>
      </c>
      <c r="I5" s="1">
        <f t="shared" si="5"/>
        <v>-6</v>
      </c>
      <c r="J5" s="1">
        <f t="shared" si="6"/>
        <v>36</v>
      </c>
      <c r="K5" s="1">
        <f t="shared" si="7"/>
        <v>6.25</v>
      </c>
      <c r="L5" s="1"/>
      <c r="M5" s="1"/>
    </row>
    <row r="6" spans="1:13" x14ac:dyDescent="0.25">
      <c r="A6" s="1"/>
      <c r="B6" s="1">
        <v>14</v>
      </c>
      <c r="C6" s="1">
        <v>14</v>
      </c>
      <c r="D6" s="1">
        <f t="shared" si="0"/>
        <v>-0.59999999999999964</v>
      </c>
      <c r="E6" s="1">
        <f t="shared" si="1"/>
        <v>1.5</v>
      </c>
      <c r="F6" s="1">
        <f t="shared" si="2"/>
        <v>-0.89999999999999947</v>
      </c>
      <c r="G6" s="1">
        <f t="shared" si="3"/>
        <v>0.3599999999999996</v>
      </c>
      <c r="H6" s="1">
        <f t="shared" si="4"/>
        <v>18</v>
      </c>
      <c r="I6" s="1">
        <f t="shared" si="5"/>
        <v>-4</v>
      </c>
      <c r="J6" s="1">
        <f t="shared" si="6"/>
        <v>16</v>
      </c>
      <c r="K6" s="1">
        <f t="shared" si="7"/>
        <v>2.25</v>
      </c>
      <c r="L6" s="1"/>
      <c r="M6" s="1"/>
    </row>
    <row r="7" spans="1:13" x14ac:dyDescent="0.25">
      <c r="A7" s="1"/>
      <c r="B7" s="1">
        <v>16</v>
      </c>
      <c r="C7" s="1">
        <v>15</v>
      </c>
      <c r="D7" s="1">
        <f t="shared" si="0"/>
        <v>1.4000000000000004</v>
      </c>
      <c r="E7" s="1">
        <f t="shared" si="1"/>
        <v>2.5</v>
      </c>
      <c r="F7" s="1">
        <f t="shared" si="2"/>
        <v>3.5000000000000009</v>
      </c>
      <c r="G7" s="1">
        <f t="shared" si="3"/>
        <v>1.9600000000000011</v>
      </c>
      <c r="H7" s="1">
        <f t="shared" si="4"/>
        <v>20</v>
      </c>
      <c r="I7" s="1">
        <f t="shared" si="5"/>
        <v>-5</v>
      </c>
      <c r="J7" s="1">
        <f t="shared" si="6"/>
        <v>25</v>
      </c>
      <c r="K7" s="1">
        <f t="shared" si="7"/>
        <v>6.25</v>
      </c>
      <c r="L7" s="1"/>
      <c r="M7" s="1"/>
    </row>
    <row r="8" spans="1:13" x14ac:dyDescent="0.25">
      <c r="A8" s="1"/>
      <c r="B8" s="1">
        <v>16</v>
      </c>
      <c r="C8" s="1">
        <v>11</v>
      </c>
      <c r="D8" s="1">
        <f t="shared" si="0"/>
        <v>1.4000000000000004</v>
      </c>
      <c r="E8" s="1">
        <f t="shared" si="1"/>
        <v>-1.5</v>
      </c>
      <c r="F8" s="1">
        <f t="shared" si="2"/>
        <v>-2.1000000000000005</v>
      </c>
      <c r="G8" s="1">
        <f t="shared" si="3"/>
        <v>1.9600000000000011</v>
      </c>
      <c r="H8" s="1">
        <f t="shared" si="4"/>
        <v>20</v>
      </c>
      <c r="I8" s="1">
        <f t="shared" si="5"/>
        <v>-9</v>
      </c>
      <c r="J8" s="1">
        <f t="shared" si="6"/>
        <v>81</v>
      </c>
      <c r="K8" s="1">
        <f t="shared" si="7"/>
        <v>2.25</v>
      </c>
      <c r="L8" s="1"/>
      <c r="M8" s="1"/>
    </row>
    <row r="9" spans="1:13" x14ac:dyDescent="0.25">
      <c r="A9" s="1"/>
      <c r="B9" s="1">
        <v>18</v>
      </c>
      <c r="C9" s="1">
        <v>15</v>
      </c>
      <c r="D9" s="1">
        <f t="shared" si="0"/>
        <v>3.4000000000000004</v>
      </c>
      <c r="E9" s="1">
        <f t="shared" si="1"/>
        <v>2.5</v>
      </c>
      <c r="F9" s="1">
        <f t="shared" si="2"/>
        <v>8.5</v>
      </c>
      <c r="G9" s="1">
        <f t="shared" si="3"/>
        <v>11.560000000000002</v>
      </c>
      <c r="H9" s="1">
        <f t="shared" si="4"/>
        <v>22</v>
      </c>
      <c r="I9" s="1">
        <f t="shared" si="5"/>
        <v>-7</v>
      </c>
      <c r="J9" s="1">
        <f t="shared" si="6"/>
        <v>49</v>
      </c>
      <c r="K9" s="1">
        <f t="shared" si="7"/>
        <v>6.25</v>
      </c>
      <c r="L9" s="1"/>
      <c r="M9" s="1"/>
    </row>
    <row r="10" spans="1:13" x14ac:dyDescent="0.25">
      <c r="A10" s="1"/>
      <c r="B10" s="1">
        <v>20</v>
      </c>
      <c r="C10" s="1">
        <v>14</v>
      </c>
      <c r="D10" s="1">
        <f t="shared" si="0"/>
        <v>5.4</v>
      </c>
      <c r="E10" s="1">
        <f t="shared" si="1"/>
        <v>1.5</v>
      </c>
      <c r="F10" s="1">
        <f t="shared" si="2"/>
        <v>8.1000000000000014</v>
      </c>
      <c r="G10" s="1">
        <f t="shared" si="3"/>
        <v>29.160000000000004</v>
      </c>
      <c r="H10" s="1">
        <f t="shared" si="4"/>
        <v>24</v>
      </c>
      <c r="I10" s="1">
        <f t="shared" si="5"/>
        <v>-10</v>
      </c>
      <c r="J10" s="1">
        <f t="shared" si="6"/>
        <v>100</v>
      </c>
      <c r="K10" s="1">
        <f t="shared" si="7"/>
        <v>2.25</v>
      </c>
      <c r="L10" s="1"/>
      <c r="M10" s="1"/>
    </row>
    <row r="11" spans="1:13" x14ac:dyDescent="0.25">
      <c r="A11" s="1"/>
      <c r="B11" s="1">
        <v>20</v>
      </c>
      <c r="C11" s="1">
        <v>16</v>
      </c>
      <c r="D11" s="1">
        <f t="shared" si="0"/>
        <v>5.4</v>
      </c>
      <c r="E11" s="1">
        <f t="shared" si="1"/>
        <v>3.5</v>
      </c>
      <c r="F11" s="1">
        <f t="shared" si="2"/>
        <v>18.900000000000002</v>
      </c>
      <c r="G11" s="1">
        <f t="shared" si="3"/>
        <v>29.160000000000004</v>
      </c>
      <c r="H11" s="1">
        <f t="shared" si="4"/>
        <v>24</v>
      </c>
      <c r="I11" s="1">
        <f t="shared" si="5"/>
        <v>-8</v>
      </c>
      <c r="J11" s="1">
        <f t="shared" si="6"/>
        <v>64</v>
      </c>
      <c r="K11" s="1">
        <f t="shared" si="7"/>
        <v>12.25</v>
      </c>
      <c r="L11" s="1"/>
      <c r="M11" s="1"/>
    </row>
    <row r="12" spans="1:13" x14ac:dyDescent="0.25">
      <c r="F12" s="2">
        <f>SUM(F2:F11)</f>
        <v>83</v>
      </c>
      <c r="G12" s="2">
        <f>SUM(G2:G11)</f>
        <v>152.4</v>
      </c>
      <c r="L12" s="2"/>
      <c r="M12" s="2"/>
    </row>
    <row r="13" spans="1:13" x14ac:dyDescent="0.25">
      <c r="A13" t="s">
        <v>21</v>
      </c>
      <c r="B13">
        <f>SUM(B2:B11)</f>
        <v>146</v>
      </c>
      <c r="C13">
        <f>SUM(C2:C11)</f>
        <v>125</v>
      </c>
      <c r="L13" s="2"/>
    </row>
    <row r="14" spans="1:13" x14ac:dyDescent="0.25">
      <c r="A14" t="s">
        <v>3</v>
      </c>
      <c r="B14">
        <f>AVERAGE(B2:B11)</f>
        <v>14.6</v>
      </c>
      <c r="C14">
        <f>AVERAGE(C2:C11)</f>
        <v>12.5</v>
      </c>
    </row>
    <row r="15" spans="1:13" x14ac:dyDescent="0.25">
      <c r="A15" t="s">
        <v>4</v>
      </c>
      <c r="B15">
        <f>F12/G12</f>
        <v>0.54461942257217844</v>
      </c>
    </row>
    <row r="16" spans="1:13" x14ac:dyDescent="0.25">
      <c r="A16" t="s">
        <v>5</v>
      </c>
      <c r="B16">
        <f>C14-B14*B15</f>
        <v>4.5485564304461947</v>
      </c>
    </row>
    <row r="17" spans="1:6" x14ac:dyDescent="0.25">
      <c r="A17" t="s">
        <v>6</v>
      </c>
      <c r="B17" t="s">
        <v>23</v>
      </c>
    </row>
    <row r="18" spans="1:6" x14ac:dyDescent="0.25">
      <c r="A18" t="s">
        <v>7</v>
      </c>
      <c r="B18">
        <f>SUM(J2:J11)</f>
        <v>421</v>
      </c>
    </row>
    <row r="19" spans="1:6" x14ac:dyDescent="0.25">
      <c r="A19" t="s">
        <v>8</v>
      </c>
      <c r="B19">
        <f>SUM(K2:K11)</f>
        <v>62.5</v>
      </c>
    </row>
    <row r="20" spans="1:6" x14ac:dyDescent="0.25">
      <c r="A20" t="s">
        <v>9</v>
      </c>
      <c r="B20">
        <f>1-(B18/B19)</f>
        <v>-5.7359999999999998</v>
      </c>
    </row>
    <row r="21" spans="1:6" x14ac:dyDescent="0.25">
      <c r="A21" t="s">
        <v>10</v>
      </c>
      <c r="B21">
        <f>B18/10</f>
        <v>42.1</v>
      </c>
    </row>
    <row r="22" spans="1:6" x14ac:dyDescent="0.25">
      <c r="F22" t="s">
        <v>22</v>
      </c>
    </row>
    <row r="24" spans="1:6" x14ac:dyDescent="0.25">
      <c r="A24" t="s">
        <v>24</v>
      </c>
    </row>
    <row r="25" spans="1:6" ht="16.5" thickBot="1" x14ac:dyDescent="0.3"/>
    <row r="26" spans="1:6" x14ac:dyDescent="0.25">
      <c r="A26" s="7" t="s">
        <v>25</v>
      </c>
      <c r="B26" s="7"/>
    </row>
    <row r="27" spans="1:6" x14ac:dyDescent="0.25">
      <c r="A27" t="s">
        <v>26</v>
      </c>
      <c r="B27">
        <v>0.85044376250040965</v>
      </c>
    </row>
    <row r="28" spans="1:6" x14ac:dyDescent="0.25">
      <c r="A28" t="s">
        <v>27</v>
      </c>
      <c r="B28">
        <v>0.72325459317585317</v>
      </c>
    </row>
    <row r="29" spans="1:6" x14ac:dyDescent="0.25">
      <c r="A29" t="s">
        <v>28</v>
      </c>
      <c r="B29">
        <v>0.68866141732283481</v>
      </c>
    </row>
    <row r="30" spans="1:6" x14ac:dyDescent="0.25">
      <c r="A30" t="s">
        <v>29</v>
      </c>
      <c r="B30">
        <v>1.4703990923601822</v>
      </c>
    </row>
    <row r="31" spans="1:6" ht="16.5" thickBot="1" x14ac:dyDescent="0.3">
      <c r="A31" s="5" t="s">
        <v>30</v>
      </c>
      <c r="B31" s="5">
        <v>10</v>
      </c>
    </row>
    <row r="33" spans="1:9" ht="16.5" thickBot="1" x14ac:dyDescent="0.3">
      <c r="A33" t="s">
        <v>31</v>
      </c>
    </row>
    <row r="34" spans="1:9" x14ac:dyDescent="0.25">
      <c r="A34" s="6"/>
      <c r="B34" s="6" t="s">
        <v>36</v>
      </c>
      <c r="C34" s="6" t="s">
        <v>37</v>
      </c>
      <c r="D34" s="6" t="s">
        <v>38</v>
      </c>
      <c r="E34" s="6" t="s">
        <v>39</v>
      </c>
      <c r="F34" s="6" t="s">
        <v>40</v>
      </c>
    </row>
    <row r="35" spans="1:9" x14ac:dyDescent="0.25">
      <c r="A35" t="s">
        <v>32</v>
      </c>
      <c r="B35">
        <v>1</v>
      </c>
      <c r="C35">
        <v>45.203412073490824</v>
      </c>
      <c r="D35">
        <v>45.203412073490824</v>
      </c>
      <c r="E35">
        <v>20.907435508345991</v>
      </c>
      <c r="F35">
        <v>1.8198956154753417E-3</v>
      </c>
    </row>
    <row r="36" spans="1:9" x14ac:dyDescent="0.25">
      <c r="A36" t="s">
        <v>33</v>
      </c>
      <c r="B36">
        <v>8</v>
      </c>
      <c r="C36">
        <v>17.296587926509179</v>
      </c>
      <c r="D36">
        <v>2.1620734908136474</v>
      </c>
    </row>
    <row r="37" spans="1:9" ht="16.5" thickBot="1" x14ac:dyDescent="0.3">
      <c r="A37" s="5" t="s">
        <v>34</v>
      </c>
      <c r="B37" s="5">
        <v>9</v>
      </c>
      <c r="C37" s="5">
        <v>62.5</v>
      </c>
      <c r="D37" s="5"/>
      <c r="E37" s="5"/>
      <c r="F37" s="5"/>
    </row>
    <row r="38" spans="1:9" ht="16.5" thickBot="1" x14ac:dyDescent="0.3"/>
    <row r="39" spans="1:9" x14ac:dyDescent="0.25">
      <c r="A39" s="6"/>
      <c r="B39" s="6" t="s">
        <v>41</v>
      </c>
      <c r="C39" s="6" t="s">
        <v>29</v>
      </c>
      <c r="D39" s="6" t="s">
        <v>42</v>
      </c>
      <c r="E39" s="6" t="s">
        <v>43</v>
      </c>
      <c r="F39" s="6" t="s">
        <v>44</v>
      </c>
      <c r="G39" s="6" t="s">
        <v>45</v>
      </c>
      <c r="H39" s="6" t="s">
        <v>46</v>
      </c>
      <c r="I39" s="6" t="s">
        <v>47</v>
      </c>
    </row>
    <row r="40" spans="1:9" x14ac:dyDescent="0.25">
      <c r="A40" t="s">
        <v>35</v>
      </c>
      <c r="B40">
        <v>4.5485564304461947</v>
      </c>
      <c r="C40">
        <v>1.8000757954693531</v>
      </c>
      <c r="D40">
        <v>2.526869391774806</v>
      </c>
      <c r="E40">
        <v>3.542772676682393E-2</v>
      </c>
      <c r="F40">
        <v>0.39757420241293584</v>
      </c>
      <c r="G40">
        <v>8.6995386584794545</v>
      </c>
      <c r="H40">
        <v>0.39757420241293584</v>
      </c>
      <c r="I40">
        <v>8.6995386584794545</v>
      </c>
    </row>
    <row r="41" spans="1:9" ht="16.5" thickBot="1" x14ac:dyDescent="0.3">
      <c r="A41" s="5" t="s">
        <v>48</v>
      </c>
      <c r="B41" s="5">
        <v>0.54461942257217844</v>
      </c>
      <c r="C41" s="5">
        <v>0.11910849646109804</v>
      </c>
      <c r="D41" s="5">
        <v>4.5724649269672906</v>
      </c>
      <c r="E41" s="5">
        <v>1.8198956154753417E-3</v>
      </c>
      <c r="F41" s="5">
        <v>0.26995473719493546</v>
      </c>
      <c r="G41" s="5">
        <v>0.81928410794942141</v>
      </c>
      <c r="H41" s="5">
        <v>0.26995473719493546</v>
      </c>
      <c r="I41" s="5">
        <v>0.81928410794942141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luongnhuy43@gmail.com</dc:creator>
  <cp:lastModifiedBy>luongnhuy43@gmail.com</cp:lastModifiedBy>
  <dcterms:created xsi:type="dcterms:W3CDTF">2026-01-17T07:32:23Z</dcterms:created>
  <dcterms:modified xsi:type="dcterms:W3CDTF">2026-01-17T10:22:26Z</dcterms:modified>
</cp:coreProperties>
</file>